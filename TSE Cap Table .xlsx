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rmandhaliwal/Downloads/"/>
    </mc:Choice>
  </mc:AlternateContent>
  <xr:revisionPtr revIDLastSave="0" documentId="8_{E013868D-E34D-F44B-96CF-9B5E695810F6}" xr6:coauthVersionLast="47" xr6:coauthVersionMax="47" xr10:uidLastSave="{00000000-0000-0000-0000-000000000000}"/>
  <bookViews>
    <workbookView xWindow="3260" yWindow="580" windowWidth="14460" windowHeight="16800" xr2:uid="{F3F6F7BD-EF07-BE40-95D8-2DCA556DC7DF}"/>
  </bookViews>
  <sheets>
    <sheet name="TSE Cap Table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25" i="1"/>
  <c r="C32" i="1" s="1"/>
  <c r="B24" i="1"/>
  <c r="C13" i="1"/>
  <c r="B36" i="1" s="1"/>
  <c r="C11" i="1"/>
  <c r="B35" i="1" s="1"/>
  <c r="C9" i="1"/>
  <c r="B34" i="1" s="1"/>
  <c r="C7" i="1"/>
  <c r="B33" i="1" s="1"/>
  <c r="C4" i="1"/>
  <c r="C15" i="1" s="1"/>
  <c r="E32" i="1" l="1"/>
  <c r="C33" i="1"/>
  <c r="B32" i="1"/>
  <c r="D33" i="1" s="1"/>
  <c r="D34" i="1" s="1"/>
  <c r="D35" i="1" s="1"/>
  <c r="D36" i="1" s="1"/>
  <c r="B28" i="1"/>
  <c r="B29" i="1" s="1"/>
  <c r="C34" i="1" l="1"/>
  <c r="E33" i="1"/>
  <c r="F33" i="1" s="1"/>
  <c r="F32" i="1"/>
  <c r="C35" i="1" l="1"/>
  <c r="E34" i="1"/>
  <c r="F34" i="1" s="1"/>
  <c r="C36" i="1" l="1"/>
  <c r="E36" i="1" s="1"/>
  <c r="F36" i="1" s="1"/>
  <c r="E35" i="1"/>
  <c r="F35" i="1" s="1"/>
</calcChain>
</file>

<file path=xl/sharedStrings.xml><?xml version="1.0" encoding="utf-8"?>
<sst xmlns="http://schemas.openxmlformats.org/spreadsheetml/2006/main" count="56" uniqueCount="53">
  <si>
    <t>Priority</t>
  </si>
  <si>
    <t>Instrument</t>
  </si>
  <si>
    <t>Principle ($1M)</t>
  </si>
  <si>
    <t>Maturity</t>
  </si>
  <si>
    <t xml:space="preserve">Interest Type </t>
  </si>
  <si>
    <t xml:space="preserve">1. Super </t>
  </si>
  <si>
    <t>3. 2nd Lien</t>
  </si>
  <si>
    <t>4. Junior</t>
  </si>
  <si>
    <t>Total</t>
  </si>
  <si>
    <t>Super-Priority Revolver (RCF)</t>
  </si>
  <si>
    <t>Unsecured Notes / Trade Claims</t>
  </si>
  <si>
    <t>Total Debt to Clear</t>
  </si>
  <si>
    <t>2025/29</t>
  </si>
  <si>
    <t>--</t>
  </si>
  <si>
    <t>Cash</t>
  </si>
  <si>
    <t>SOFR + 8.5% (PIK Option)</t>
  </si>
  <si>
    <t>7.625% Cash</t>
  </si>
  <si>
    <t xml:space="preserve">Various </t>
  </si>
  <si>
    <t>Senior Secured Notes (2029)</t>
  </si>
  <si>
    <t xml:space="preserve">5. Equity </t>
  </si>
  <si>
    <t>A/R Facility</t>
  </si>
  <si>
    <t>2. 1st Senior Secured</t>
  </si>
  <si>
    <t xml:space="preserve">Term Loan B </t>
  </si>
  <si>
    <t xml:space="preserve">Refi Term Loans </t>
  </si>
  <si>
    <t>Junior Total</t>
  </si>
  <si>
    <t xml:space="preserve">Equity Total </t>
  </si>
  <si>
    <t>2nd Lien Total</t>
  </si>
  <si>
    <t>1st Senior Secured Total</t>
  </si>
  <si>
    <t xml:space="preserve">Super Total </t>
  </si>
  <si>
    <t>Other</t>
  </si>
  <si>
    <t>Capacity is 300</t>
  </si>
  <si>
    <t>Adjusted EBITDA</t>
  </si>
  <si>
    <t>Multiples</t>
  </si>
  <si>
    <t>Low (distressed case)</t>
  </si>
  <si>
    <t>Mid</t>
  </si>
  <si>
    <t>High (healthy case)</t>
  </si>
  <si>
    <t xml:space="preserve">EV Range </t>
  </si>
  <si>
    <t xml:space="preserve">Low </t>
  </si>
  <si>
    <t xml:space="preserve">Base </t>
  </si>
  <si>
    <t>High</t>
  </si>
  <si>
    <t xml:space="preserve">EV - Total Debt to Clear </t>
  </si>
  <si>
    <t>Insolvent</t>
  </si>
  <si>
    <t>Layer</t>
  </si>
  <si>
    <t>Debt</t>
  </si>
  <si>
    <t xml:space="preserve">EV </t>
  </si>
  <si>
    <t xml:space="preserve">Debt Above </t>
  </si>
  <si>
    <t xml:space="preserve">Remaining EV </t>
  </si>
  <si>
    <t>Recovery %</t>
  </si>
  <si>
    <t xml:space="preserve">Super </t>
  </si>
  <si>
    <t>1L</t>
  </si>
  <si>
    <t>2L</t>
  </si>
  <si>
    <t>Junior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</si>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</sst>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3A143-FCA9-214B-AAD8-ACC9FECDDAE8}">
  <dimension ref="A1:F36"/>
  <sheetViews>
    <sheetView tabSelected="1" workbookViewId="0">
      <selection activeCell="A2" sqref="A1:G36"/>
    </sheetView>
  </sheetViews>
  <sheetFormatPr baseColWidth="10" defaultRowHeight="16" x14ac:dyDescent="0.2"/>
  <cols>
    <col min="1" max="1" width="28.33203125" customWidth="1"/>
    <col min="2" max="2" width="26.33203125" customWidth="1"/>
    <col min="3" max="3" width="18" customWidth="1"/>
    <col min="5" max="5" width="18.6640625" customWidth="1"/>
    <col min="6" max="6" width="14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">
      <c r="A2" t="s">
        <v>5</v>
      </c>
      <c r="B2" t="s">
        <v>9</v>
      </c>
      <c r="C2" s="3">
        <v>75</v>
      </c>
      <c r="D2">
        <v>2028</v>
      </c>
      <c r="E2" t="s">
        <v>14</v>
      </c>
      <c r="F2" t="s">
        <v>30</v>
      </c>
    </row>
    <row r="3" spans="1:6" x14ac:dyDescent="0.2">
      <c r="A3" t="s">
        <v>5</v>
      </c>
      <c r="B3" t="s">
        <v>20</v>
      </c>
      <c r="C3" s="3">
        <v>118</v>
      </c>
    </row>
    <row r="4" spans="1:6" s="2" customFormat="1" x14ac:dyDescent="0.2">
      <c r="A4" s="2" t="s">
        <v>28</v>
      </c>
      <c r="C4" s="2">
        <f>SUM(C2:C3)</f>
        <v>193</v>
      </c>
    </row>
    <row r="5" spans="1:6" x14ac:dyDescent="0.2">
      <c r="A5" t="s">
        <v>21</v>
      </c>
      <c r="B5" t="s">
        <v>22</v>
      </c>
      <c r="C5" s="3">
        <v>715</v>
      </c>
      <c r="D5">
        <v>2028</v>
      </c>
      <c r="E5" t="s">
        <v>15</v>
      </c>
    </row>
    <row r="6" spans="1:6" x14ac:dyDescent="0.2">
      <c r="A6" t="s">
        <v>21</v>
      </c>
      <c r="B6" t="s">
        <v>23</v>
      </c>
      <c r="C6" s="3">
        <v>1238</v>
      </c>
    </row>
    <row r="7" spans="1:6" s="2" customFormat="1" x14ac:dyDescent="0.2">
      <c r="A7" s="2" t="s">
        <v>27</v>
      </c>
      <c r="C7" s="2">
        <f>SUM(C5:C6)</f>
        <v>1953</v>
      </c>
    </row>
    <row r="8" spans="1:6" x14ac:dyDescent="0.2">
      <c r="A8" t="s">
        <v>6</v>
      </c>
      <c r="B8" t="s">
        <v>18</v>
      </c>
      <c r="C8">
        <v>442</v>
      </c>
      <c r="D8">
        <v>2029</v>
      </c>
      <c r="E8" t="s">
        <v>16</v>
      </c>
    </row>
    <row r="9" spans="1:6" s="2" customFormat="1" x14ac:dyDescent="0.2">
      <c r="A9" s="2" t="s">
        <v>26</v>
      </c>
      <c r="C9" s="2">
        <f>C8</f>
        <v>442</v>
      </c>
    </row>
    <row r="10" spans="1:6" x14ac:dyDescent="0.2">
      <c r="A10" t="s">
        <v>7</v>
      </c>
      <c r="B10" t="s">
        <v>10</v>
      </c>
      <c r="D10" t="s">
        <v>12</v>
      </c>
      <c r="E10" t="s">
        <v>17</v>
      </c>
    </row>
    <row r="11" spans="1:6" x14ac:dyDescent="0.2">
      <c r="A11" s="2" t="s">
        <v>24</v>
      </c>
      <c r="C11">
        <f>C10</f>
        <v>0</v>
      </c>
    </row>
    <row r="12" spans="1:6" x14ac:dyDescent="0.2">
      <c r="A12" t="s">
        <v>19</v>
      </c>
      <c r="C12">
        <v>0</v>
      </c>
    </row>
    <row r="13" spans="1:6" x14ac:dyDescent="0.2">
      <c r="A13" s="2" t="s">
        <v>25</v>
      </c>
      <c r="C13">
        <f>C12</f>
        <v>0</v>
      </c>
    </row>
    <row r="14" spans="1:6" x14ac:dyDescent="0.2">
      <c r="A14" s="2" t="s">
        <v>29</v>
      </c>
      <c r="C14">
        <v>3.9</v>
      </c>
    </row>
    <row r="15" spans="1:6" x14ac:dyDescent="0.2">
      <c r="A15" t="s">
        <v>8</v>
      </c>
      <c r="B15" t="s">
        <v>11</v>
      </c>
      <c r="C15">
        <f>SUM(C4,C7,C9,C11,C13,C14)</f>
        <v>2591.9</v>
      </c>
      <c r="D15" s="1" t="s">
        <v>13</v>
      </c>
      <c r="E15" s="1" t="s">
        <v>13</v>
      </c>
    </row>
    <row r="17" spans="1:6" x14ac:dyDescent="0.2">
      <c r="A17" t="s">
        <v>31</v>
      </c>
      <c r="B17">
        <v>162.5</v>
      </c>
    </row>
    <row r="18" spans="1:6" x14ac:dyDescent="0.2">
      <c r="A18" t="s">
        <v>32</v>
      </c>
    </row>
    <row r="19" spans="1:6" x14ac:dyDescent="0.2">
      <c r="A19" t="s">
        <v>33</v>
      </c>
      <c r="B19">
        <v>5</v>
      </c>
    </row>
    <row r="20" spans="1:6" x14ac:dyDescent="0.2">
      <c r="A20" t="s">
        <v>34</v>
      </c>
      <c r="B20">
        <v>6</v>
      </c>
    </row>
    <row r="21" spans="1:6" x14ac:dyDescent="0.2">
      <c r="A21" t="s">
        <v>35</v>
      </c>
      <c r="B21">
        <v>7</v>
      </c>
    </row>
    <row r="23" spans="1:6" x14ac:dyDescent="0.2">
      <c r="A23" t="s">
        <v>36</v>
      </c>
    </row>
    <row r="24" spans="1:6" x14ac:dyDescent="0.2">
      <c r="A24" t="s">
        <v>37</v>
      </c>
      <c r="B24">
        <f>B17*B19</f>
        <v>812.5</v>
      </c>
    </row>
    <row r="25" spans="1:6" x14ac:dyDescent="0.2">
      <c r="A25" t="s">
        <v>38</v>
      </c>
      <c r="B25">
        <f>B17*B20</f>
        <v>975</v>
      </c>
    </row>
    <row r="26" spans="1:6" x14ac:dyDescent="0.2">
      <c r="A26" t="s">
        <v>39</v>
      </c>
      <c r="B26">
        <f>B17*B21</f>
        <v>1137.5</v>
      </c>
    </row>
    <row r="28" spans="1:6" x14ac:dyDescent="0.2">
      <c r="A28" t="s">
        <v>40</v>
      </c>
      <c r="B28">
        <f>B26-C15</f>
        <v>-1454.4</v>
      </c>
    </row>
    <row r="29" spans="1:6" x14ac:dyDescent="0.2">
      <c r="A29" t="s">
        <v>41</v>
      </c>
      <c r="B29" t="b">
        <f>B28&lt;0</f>
        <v>1</v>
      </c>
    </row>
    <row r="31" spans="1:6" x14ac:dyDescent="0.2">
      <c r="A31" t="s">
        <v>42</v>
      </c>
      <c r="B31" t="s">
        <v>43</v>
      </c>
      <c r="C31" t="s">
        <v>44</v>
      </c>
      <c r="D31" t="s">
        <v>45</v>
      </c>
      <c r="E31" t="s">
        <v>46</v>
      </c>
      <c r="F31" t="s">
        <v>47</v>
      </c>
    </row>
    <row r="32" spans="1:6" x14ac:dyDescent="0.2">
      <c r="A32" t="s">
        <v>48</v>
      </c>
      <c r="B32">
        <f>C4</f>
        <v>193</v>
      </c>
      <c r="C32">
        <f>B25</f>
        <v>975</v>
      </c>
      <c r="D32">
        <v>0</v>
      </c>
      <c r="E32">
        <f>MAX(0,C32-D32)</f>
        <v>975</v>
      </c>
      <c r="F32">
        <f>MIN(1,E32/B32)</f>
        <v>1</v>
      </c>
    </row>
    <row r="33" spans="1:6" x14ac:dyDescent="0.2">
      <c r="A33" t="s">
        <v>49</v>
      </c>
      <c r="B33">
        <f>C7</f>
        <v>1953</v>
      </c>
      <c r="C33">
        <f>C32</f>
        <v>975</v>
      </c>
      <c r="D33">
        <f>B32</f>
        <v>193</v>
      </c>
      <c r="E33">
        <f t="shared" ref="E33:E36" si="0">MAX(0,C33-D33)</f>
        <v>782</v>
      </c>
      <c r="F33">
        <f t="shared" ref="F33:F36" si="1">MIN(1,E33/B33)</f>
        <v>0.40040962621607784</v>
      </c>
    </row>
    <row r="34" spans="1:6" x14ac:dyDescent="0.2">
      <c r="A34" t="s">
        <v>50</v>
      </c>
      <c r="B34">
        <f>C9</f>
        <v>442</v>
      </c>
      <c r="C34">
        <f>C33</f>
        <v>975</v>
      </c>
      <c r="D34">
        <f>B33+D33</f>
        <v>2146</v>
      </c>
      <c r="E34">
        <f t="shared" si="0"/>
        <v>0</v>
      </c>
      <c r="F34">
        <f t="shared" si="1"/>
        <v>0</v>
      </c>
    </row>
    <row r="35" spans="1:6" x14ac:dyDescent="0.2">
      <c r="A35" t="s">
        <v>51</v>
      </c>
      <c r="B35">
        <f>C11</f>
        <v>0</v>
      </c>
      <c r="C35">
        <f>C34</f>
        <v>975</v>
      </c>
      <c r="D35">
        <f>B34+D34</f>
        <v>2588</v>
      </c>
      <c r="E35">
        <f t="shared" si="0"/>
        <v>0</v>
      </c>
      <c r="F35" t="e">
        <f>MIN(1,E35/B35)</f>
        <v>#DIV/0!</v>
      </c>
    </row>
    <row r="36" spans="1:6" x14ac:dyDescent="0.2">
      <c r="A36" t="s">
        <v>52</v>
      </c>
      <c r="B36">
        <f>C13</f>
        <v>0</v>
      </c>
      <c r="C36">
        <f>C35</f>
        <v>975</v>
      </c>
      <c r="D36">
        <f>B35+D35</f>
        <v>2588</v>
      </c>
      <c r="E36">
        <f t="shared" si="0"/>
        <v>0</v>
      </c>
      <c r="F36" t="e">
        <f t="shared" si="1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TSE Cap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Gurman Dhaliwal</dc:creator>
  <cp:lastModifiedBy>Gurman Dhaliwal</cp:lastModifiedBy>
  <dcterms:created xsi:type="dcterms:W3CDTF">2026-04-16T01:14:11Z</dcterms:created>
  <dcterms:modified xsi:type="dcterms:W3CDTF">2026-04-16T22:28:52Z</dcterms:modified>
</cp:coreProperties>
</file>